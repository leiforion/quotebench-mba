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seadedu-my.sharepoint.com/personal/dhruv_gupta_insead_edu/Documents/Insead/Final Project/"/>
    </mc:Choice>
  </mc:AlternateContent>
  <xr:revisionPtr revIDLastSave="8" documentId="8_{C555B8F4-0811-44BD-B944-5547B54A577E}" xr6:coauthVersionLast="47" xr6:coauthVersionMax="47" xr10:uidLastSave="{9E7BD571-323D-434B-B452-8746F1DB7599}"/>
  <bookViews>
    <workbookView xWindow="-110" yWindow="-110" windowWidth="19420" windowHeight="11500" tabRatio="500" activeTab="1" xr2:uid="{00000000-000D-0000-FFFF-FFFF00000000}"/>
  </bookViews>
  <sheets>
    <sheet name="Assumptions" sheetId="1" r:id="rId1"/>
    <sheet name="P&amp;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2" l="1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7" i="2"/>
  <c r="F7" i="2"/>
  <c r="E7" i="2"/>
  <c r="D7" i="2"/>
  <c r="C7" i="2"/>
  <c r="C24" i="1"/>
  <c r="C23" i="1"/>
  <c r="D23" i="1" s="1"/>
  <c r="E23" i="1" s="1"/>
  <c r="F23" i="1" s="1"/>
  <c r="G23" i="1" s="1"/>
  <c r="C22" i="1"/>
  <c r="G18" i="1"/>
  <c r="G12" i="2" s="1"/>
  <c r="F18" i="1"/>
  <c r="F12" i="2" s="1"/>
  <c r="E18" i="1"/>
  <c r="E12" i="2" s="1"/>
  <c r="D18" i="1"/>
  <c r="D12" i="2" s="1"/>
  <c r="C18" i="1"/>
  <c r="C12" i="2" s="1"/>
  <c r="D24" i="1" l="1"/>
  <c r="E24" i="1" s="1"/>
  <c r="F24" i="1" s="1"/>
  <c r="G24" i="1" s="1"/>
  <c r="C25" i="1"/>
  <c r="D22" i="1"/>
  <c r="C6" i="2"/>
  <c r="C8" i="2" s="1"/>
  <c r="C11" i="2" l="1"/>
  <c r="C13" i="2" s="1"/>
  <c r="C35" i="2"/>
  <c r="C36" i="2" s="1"/>
  <c r="E22" i="1"/>
  <c r="D25" i="1"/>
  <c r="D6" i="2"/>
  <c r="D8" i="2" s="1"/>
  <c r="C15" i="2"/>
  <c r="C27" i="2" l="1"/>
  <c r="C29" i="2" s="1"/>
  <c r="C30" i="2" s="1"/>
  <c r="C16" i="2"/>
  <c r="F22" i="1"/>
  <c r="E25" i="1"/>
  <c r="E6" i="2"/>
  <c r="E8" i="2" s="1"/>
  <c r="D35" i="2"/>
  <c r="D36" i="2" s="1"/>
  <c r="D11" i="2"/>
  <c r="D13" i="2" s="1"/>
  <c r="D15" i="2" s="1"/>
  <c r="C32" i="2"/>
  <c r="G22" i="1" l="1"/>
  <c r="F25" i="1"/>
  <c r="F6" i="2"/>
  <c r="F8" i="2" s="1"/>
  <c r="E11" i="2"/>
  <c r="E13" i="2" s="1"/>
  <c r="E15" i="2" s="1"/>
  <c r="E35" i="2"/>
  <c r="E36" i="2" s="1"/>
  <c r="D16" i="2"/>
  <c r="D27" i="2"/>
  <c r="D29" i="2" s="1"/>
  <c r="G25" i="1" l="1"/>
  <c r="G6" i="2"/>
  <c r="F35" i="2"/>
  <c r="F36" i="2" s="1"/>
  <c r="F11" i="2"/>
  <c r="F13" i="2" s="1"/>
  <c r="F15" i="2"/>
  <c r="D30" i="2"/>
  <c r="D32" i="2"/>
  <c r="E27" i="2"/>
  <c r="E29" i="2" s="1"/>
  <c r="E30" i="2" s="1"/>
  <c r="E16" i="2"/>
  <c r="E32" i="2" l="1"/>
  <c r="G11" i="2"/>
  <c r="G13" i="2" s="1"/>
  <c r="G35" i="2"/>
  <c r="C47" i="2"/>
  <c r="G8" i="2"/>
  <c r="F27" i="2"/>
  <c r="F29" i="2" s="1"/>
  <c r="F16" i="2"/>
  <c r="F32" i="2" l="1"/>
  <c r="C53" i="2"/>
  <c r="C50" i="2"/>
  <c r="C51" i="2"/>
  <c r="C52" i="2"/>
  <c r="G15" i="2"/>
  <c r="F30" i="2"/>
  <c r="G36" i="2"/>
  <c r="G27" i="2" l="1"/>
  <c r="G29" i="2" s="1"/>
  <c r="G16" i="2"/>
  <c r="C38" i="2" l="1"/>
  <c r="G30" i="2"/>
  <c r="G32" i="2"/>
  <c r="C39" i="2" s="1"/>
</calcChain>
</file>

<file path=xl/sharedStrings.xml><?xml version="1.0" encoding="utf-8"?>
<sst xmlns="http://schemas.openxmlformats.org/spreadsheetml/2006/main" count="89" uniqueCount="72">
  <si>
    <t>Quomate  |  Software Business P&amp;L</t>
  </si>
  <si>
    <t>PRICING  (per customer, AED)</t>
  </si>
  <si>
    <t>Tier</t>
  </si>
  <si>
    <t>Annual subscription</t>
  </si>
  <si>
    <t>One-time setup</t>
  </si>
  <si>
    <t>Small distributor</t>
  </si>
  <si>
    <t>Mid distributor</t>
  </si>
  <si>
    <t>Large group</t>
  </si>
  <si>
    <t>Annual churn (of prior active base)</t>
  </si>
  <si>
    <t>NEW CUSTOMERS ADDED PER YEAR</t>
  </si>
  <si>
    <t>Y1</t>
  </si>
  <si>
    <t>Y2</t>
  </si>
  <si>
    <t>Y3</t>
  </si>
  <si>
    <t>Y4</t>
  </si>
  <si>
    <t>Y5</t>
  </si>
  <si>
    <t>Total new / year</t>
  </si>
  <si>
    <t>ACTIVE CUSTOMERS (end of year, after churn)</t>
  </si>
  <si>
    <t>Total active</t>
  </si>
  <si>
    <t>COST &amp; OPERATING ASSUMPTIONS</t>
  </si>
  <si>
    <t>Cost of revenue per active customer / yr</t>
  </si>
  <si>
    <t>Onboarding delivery cost per new customer</t>
  </si>
  <si>
    <t>One-time MVP build cost (Year 1)</t>
  </si>
  <si>
    <t>Operating expenses per year (stepped)</t>
  </si>
  <si>
    <t>Founder draw (2 founders)</t>
  </si>
  <si>
    <t>Engineering &amp; product team</t>
  </si>
  <si>
    <t>Customer success &amp; support</t>
  </si>
  <si>
    <t>Sales &amp; marketing</t>
  </si>
  <si>
    <t>Software, tools &amp; infrastructure</t>
  </si>
  <si>
    <t>Legal, admin, office, travel</t>
  </si>
  <si>
    <t>Discount rate (for NPV)</t>
  </si>
  <si>
    <t>Quomate  |  Five-Year P&amp;L  (AED)</t>
  </si>
  <si>
    <t>All revenue and cost lines link to the Assumptions sheet. Black = formula, green = link.</t>
  </si>
  <si>
    <t>AED</t>
  </si>
  <si>
    <t>Year 1</t>
  </si>
  <si>
    <t>Year 2</t>
  </si>
  <si>
    <t>Year 3</t>
  </si>
  <si>
    <t>Year 4</t>
  </si>
  <si>
    <t>Year 5</t>
  </si>
  <si>
    <t>REVENUE</t>
  </si>
  <si>
    <t>Subscription revenue</t>
  </si>
  <si>
    <t>Setup / implementation revenue</t>
  </si>
  <si>
    <t>Total revenue</t>
  </si>
  <si>
    <t>COST OF REVENUE</t>
  </si>
  <si>
    <t>Hosting, inference &amp; support</t>
  </si>
  <si>
    <t>Onboarding delivery</t>
  </si>
  <si>
    <t>Total cost of revenue</t>
  </si>
  <si>
    <t>GROSS PROFIT</t>
  </si>
  <si>
    <t>Gross margin %</t>
  </si>
  <si>
    <t>OPERATING EXPENSES</t>
  </si>
  <si>
    <t>Founder draw</t>
  </si>
  <si>
    <t>Engineering &amp; product</t>
  </si>
  <si>
    <t>Total operating expenses</t>
  </si>
  <si>
    <t>Operating profit (before build cost)</t>
  </si>
  <si>
    <t>One-time MVP build cost</t>
  </si>
  <si>
    <t>NET PROFIT (pre-tax)</t>
  </si>
  <si>
    <t>Net margin %</t>
  </si>
  <si>
    <t>Cumulative net profit</t>
  </si>
  <si>
    <t>KEY METRICS</t>
  </si>
  <si>
    <t>Active customers (EOY)</t>
  </si>
  <si>
    <t>Revenue per active customer</t>
  </si>
  <si>
    <t>5-year NPV of net profit</t>
  </si>
  <si>
    <t>Cumulative net profit, Year 5</t>
  </si>
  <si>
    <t>VALUATION VIEW  (illustrative, not a forecast)</t>
  </si>
  <si>
    <t>Year 5 ARR (recurring subscription only)</t>
  </si>
  <si>
    <t>ARR multiple</t>
  </si>
  <si>
    <t>Enterprise value (AED)</t>
  </si>
  <si>
    <t>Conservative</t>
  </si>
  <si>
    <t>Base</t>
  </si>
  <si>
    <t>Optimistic</t>
  </si>
  <si>
    <t>Bull</t>
  </si>
  <si>
    <t>AI/API inference, hosting, selection API, support??</t>
  </si>
  <si>
    <t>Catalogue load, ERP integration, training??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</si>
</sst>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6" formatCode="0.0\x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/>
    <xf numFmtId="0" fontId="5" fillId="0" borderId="1" xfId="0" applyFont="1" applyBorder="1"/>
    <xf numFmtId="164" fontId="6" fillId="0" borderId="1" xfId="0" applyNumberFormat="1" applyFont="1" applyBorder="1"/>
    <xf numFmtId="0" fontId="5" fillId="0" borderId="0" xfId="0" applyFont="1"/>
    <xf numFmtId="165" fontId="6" fillId="4" borderId="0" xfId="0" applyNumberFormat="1" applyFont="1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0" fontId="0" fillId="5" borderId="1" xfId="0" applyFill="1" applyBorder="1"/>
    <xf numFmtId="164" fontId="4" fillId="5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6" fillId="0" borderId="0" xfId="0" applyNumberFormat="1" applyFont="1"/>
    <xf numFmtId="164" fontId="6" fillId="4" borderId="0" xfId="0" applyNumberFormat="1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7" fillId="0" borderId="0" xfId="0" applyFont="1"/>
    <xf numFmtId="164" fontId="5" fillId="0" borderId="0" xfId="0" applyNumberFormat="1" applyFont="1"/>
    <xf numFmtId="0" fontId="4" fillId="5" borderId="0" xfId="0" applyFont="1" applyFill="1"/>
    <xf numFmtId="0" fontId="0" fillId="5" borderId="0" xfId="0" applyFill="1"/>
    <xf numFmtId="164" fontId="4" fillId="5" borderId="2" xfId="0" applyNumberFormat="1" applyFont="1" applyFill="1" applyBorder="1"/>
    <xf numFmtId="0" fontId="4" fillId="0" borderId="0" xfId="0" applyFont="1"/>
    <xf numFmtId="164" fontId="4" fillId="0" borderId="2" xfId="0" applyNumberFormat="1" applyFont="1" applyBorder="1"/>
    <xf numFmtId="164" fontId="4" fillId="5" borderId="0" xfId="0" applyNumberFormat="1" applyFont="1" applyFill="1"/>
    <xf numFmtId="165" fontId="5" fillId="0" borderId="0" xfId="0" applyNumberFormat="1" applyFont="1"/>
    <xf numFmtId="164" fontId="4" fillId="0" borderId="0" xfId="0" applyNumberFormat="1" applyFont="1"/>
    <xf numFmtId="166" fontId="6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topLeftCell="A21" zoomScaleNormal="100" workbookViewId="0">
      <selection activeCell="D41" sqref="D41"/>
    </sheetView>
  </sheetViews>
  <sheetFormatPr defaultColWidth="8.6328125" defaultRowHeight="14.5" x14ac:dyDescent="0.35"/>
  <cols>
    <col min="1" max="1" width="42" customWidth="1"/>
    <col min="2" max="2" width="14" customWidth="1"/>
    <col min="3" max="7" width="13" customWidth="1"/>
  </cols>
  <sheetData>
    <row r="1" spans="1:7" ht="17.25" customHeight="1" x14ac:dyDescent="0.4">
      <c r="A1" s="1" t="s">
        <v>0</v>
      </c>
    </row>
    <row r="2" spans="1:7" ht="15" customHeight="1" x14ac:dyDescent="0.35">
      <c r="A2" s="2"/>
    </row>
    <row r="3" spans="1:7" ht="15" customHeight="1" x14ac:dyDescent="0.35">
      <c r="A3" s="2"/>
    </row>
    <row r="5" spans="1:7" ht="15" customHeight="1" x14ac:dyDescent="0.35">
      <c r="A5" s="3" t="s">
        <v>1</v>
      </c>
      <c r="B5" s="4"/>
      <c r="C5" s="4"/>
      <c r="D5" s="4"/>
      <c r="E5" s="4"/>
      <c r="F5" s="4"/>
      <c r="G5" s="4"/>
    </row>
    <row r="6" spans="1:7" ht="15" customHeight="1" x14ac:dyDescent="0.35">
      <c r="A6" s="5" t="s">
        <v>2</v>
      </c>
      <c r="B6" s="5" t="s">
        <v>3</v>
      </c>
      <c r="C6" s="5" t="s">
        <v>4</v>
      </c>
    </row>
    <row r="7" spans="1:7" ht="15" customHeight="1" x14ac:dyDescent="0.35">
      <c r="A7" s="6" t="s">
        <v>5</v>
      </c>
      <c r="B7" s="7">
        <v>120000</v>
      </c>
      <c r="C7" s="7">
        <v>50000</v>
      </c>
    </row>
    <row r="8" spans="1:7" ht="15" customHeight="1" x14ac:dyDescent="0.35">
      <c r="A8" s="6" t="s">
        <v>6</v>
      </c>
      <c r="B8" s="7">
        <v>200000</v>
      </c>
      <c r="C8" s="7">
        <v>90000</v>
      </c>
    </row>
    <row r="9" spans="1:7" ht="15" customHeight="1" x14ac:dyDescent="0.35">
      <c r="A9" s="6" t="s">
        <v>7</v>
      </c>
      <c r="B9" s="7">
        <v>320000</v>
      </c>
      <c r="C9" s="7">
        <v>140000</v>
      </c>
    </row>
    <row r="11" spans="1:7" ht="15" customHeight="1" x14ac:dyDescent="0.35">
      <c r="A11" s="8" t="s">
        <v>8</v>
      </c>
      <c r="B11" s="9">
        <v>0.08</v>
      </c>
    </row>
    <row r="13" spans="1:7" ht="15" customHeight="1" x14ac:dyDescent="0.35">
      <c r="A13" s="3" t="s">
        <v>9</v>
      </c>
      <c r="B13" s="4"/>
      <c r="C13" s="4"/>
      <c r="D13" s="4"/>
      <c r="E13" s="4"/>
      <c r="F13" s="4"/>
      <c r="G13" s="4"/>
    </row>
    <row r="14" spans="1:7" ht="15" customHeight="1" x14ac:dyDescent="0.35">
      <c r="A14" s="5" t="s">
        <v>2</v>
      </c>
      <c r="B14" s="10"/>
      <c r="C14" s="11" t="s">
        <v>10</v>
      </c>
      <c r="D14" s="11" t="s">
        <v>11</v>
      </c>
      <c r="E14" s="11" t="s">
        <v>12</v>
      </c>
      <c r="F14" s="11" t="s">
        <v>13</v>
      </c>
      <c r="G14" s="11" t="s">
        <v>14</v>
      </c>
    </row>
    <row r="15" spans="1:7" ht="15" customHeight="1" x14ac:dyDescent="0.35">
      <c r="A15" s="6" t="s">
        <v>5</v>
      </c>
      <c r="C15" s="12">
        <v>1</v>
      </c>
      <c r="D15" s="12">
        <v>4</v>
      </c>
      <c r="E15" s="12">
        <v>6</v>
      </c>
      <c r="F15" s="12">
        <v>5</v>
      </c>
      <c r="G15" s="12">
        <v>5</v>
      </c>
    </row>
    <row r="16" spans="1:7" ht="15" customHeight="1" x14ac:dyDescent="0.35">
      <c r="A16" s="6" t="s">
        <v>6</v>
      </c>
      <c r="C16" s="12">
        <v>1</v>
      </c>
      <c r="D16" s="12">
        <v>3</v>
      </c>
      <c r="E16" s="12">
        <v>6</v>
      </c>
      <c r="F16" s="12">
        <v>5</v>
      </c>
      <c r="G16" s="12">
        <v>6</v>
      </c>
    </row>
    <row r="17" spans="1:7" ht="15" customHeight="1" x14ac:dyDescent="0.35">
      <c r="A17" s="6" t="s">
        <v>7</v>
      </c>
      <c r="C17" s="12">
        <v>1</v>
      </c>
      <c r="D17" s="12">
        <v>1</v>
      </c>
      <c r="E17" s="12">
        <v>2</v>
      </c>
      <c r="F17" s="12">
        <v>2</v>
      </c>
      <c r="G17" s="12">
        <v>2</v>
      </c>
    </row>
    <row r="18" spans="1:7" ht="15" customHeight="1" x14ac:dyDescent="0.35">
      <c r="A18" s="13" t="s">
        <v>15</v>
      </c>
      <c r="B18" s="14"/>
      <c r="C18" s="15">
        <f>SUM(C15:C17)</f>
        <v>3</v>
      </c>
      <c r="D18" s="15">
        <f>SUM(D15:D17)</f>
        <v>8</v>
      </c>
      <c r="E18" s="15">
        <f>SUM(E15:E17)</f>
        <v>14</v>
      </c>
      <c r="F18" s="15">
        <f>SUM(F15:F17)</f>
        <v>12</v>
      </c>
      <c r="G18" s="15">
        <f>SUM(G15:G17)</f>
        <v>13</v>
      </c>
    </row>
    <row r="20" spans="1:7" ht="15" customHeight="1" x14ac:dyDescent="0.35">
      <c r="A20" s="3" t="s">
        <v>16</v>
      </c>
      <c r="B20" s="4"/>
      <c r="C20" s="4"/>
      <c r="D20" s="4"/>
      <c r="E20" s="4"/>
      <c r="F20" s="4"/>
      <c r="G20" s="4"/>
    </row>
    <row r="21" spans="1:7" ht="15" customHeight="1" x14ac:dyDescent="0.35">
      <c r="A21" s="5" t="s">
        <v>2</v>
      </c>
      <c r="B21" s="10"/>
      <c r="C21" s="11" t="s">
        <v>10</v>
      </c>
      <c r="D21" s="11" t="s">
        <v>11</v>
      </c>
      <c r="E21" s="11" t="s">
        <v>12</v>
      </c>
      <c r="F21" s="11" t="s">
        <v>13</v>
      </c>
      <c r="G21" s="11" t="s">
        <v>14</v>
      </c>
    </row>
    <row r="22" spans="1:7" ht="15" customHeight="1" x14ac:dyDescent="0.35">
      <c r="A22" s="6" t="s">
        <v>5</v>
      </c>
      <c r="C22" s="16">
        <f>C15</f>
        <v>1</v>
      </c>
      <c r="D22" s="16">
        <f t="shared" ref="D22:G24" si="0">ROUND(C22*(1-$B$11),0)+D15</f>
        <v>5</v>
      </c>
      <c r="E22" s="16">
        <f t="shared" si="0"/>
        <v>11</v>
      </c>
      <c r="F22" s="16">
        <f t="shared" si="0"/>
        <v>15</v>
      </c>
      <c r="G22" s="16">
        <f t="shared" si="0"/>
        <v>19</v>
      </c>
    </row>
    <row r="23" spans="1:7" ht="15" customHeight="1" x14ac:dyDescent="0.35">
      <c r="A23" s="6" t="s">
        <v>6</v>
      </c>
      <c r="C23" s="16">
        <f>C16</f>
        <v>1</v>
      </c>
      <c r="D23" s="16">
        <f t="shared" si="0"/>
        <v>4</v>
      </c>
      <c r="E23" s="16">
        <f t="shared" si="0"/>
        <v>10</v>
      </c>
      <c r="F23" s="16">
        <f t="shared" si="0"/>
        <v>14</v>
      </c>
      <c r="G23" s="16">
        <f t="shared" si="0"/>
        <v>19</v>
      </c>
    </row>
    <row r="24" spans="1:7" ht="15" customHeight="1" x14ac:dyDescent="0.35">
      <c r="A24" s="6" t="s">
        <v>7</v>
      </c>
      <c r="C24" s="16">
        <f>C17</f>
        <v>1</v>
      </c>
      <c r="D24" s="16">
        <f t="shared" si="0"/>
        <v>2</v>
      </c>
      <c r="E24" s="16">
        <f t="shared" si="0"/>
        <v>4</v>
      </c>
      <c r="F24" s="16">
        <f t="shared" si="0"/>
        <v>6</v>
      </c>
      <c r="G24" s="16">
        <f t="shared" si="0"/>
        <v>8</v>
      </c>
    </row>
    <row r="25" spans="1:7" ht="15" customHeight="1" x14ac:dyDescent="0.35">
      <c r="A25" s="13" t="s">
        <v>17</v>
      </c>
      <c r="B25" s="14"/>
      <c r="C25" s="15">
        <f>SUM(C22:C24)</f>
        <v>3</v>
      </c>
      <c r="D25" s="15">
        <f>SUM(D22:D24)</f>
        <v>11</v>
      </c>
      <c r="E25" s="15">
        <f>SUM(E22:E24)</f>
        <v>25</v>
      </c>
      <c r="F25" s="15">
        <f>SUM(F22:F24)</f>
        <v>35</v>
      </c>
      <c r="G25" s="15">
        <f>SUM(G22:G24)</f>
        <v>46</v>
      </c>
    </row>
    <row r="27" spans="1:7" ht="15" customHeight="1" x14ac:dyDescent="0.35">
      <c r="A27" s="3" t="s">
        <v>18</v>
      </c>
      <c r="B27" s="4"/>
      <c r="C27" s="4"/>
      <c r="D27" s="4"/>
      <c r="E27" s="4"/>
      <c r="F27" s="4"/>
      <c r="G27" s="4"/>
    </row>
    <row r="28" spans="1:7" ht="15" customHeight="1" x14ac:dyDescent="0.35">
      <c r="A28" s="8" t="s">
        <v>19</v>
      </c>
      <c r="B28" s="17">
        <v>32000</v>
      </c>
      <c r="D28" s="2" t="s">
        <v>70</v>
      </c>
    </row>
    <row r="29" spans="1:7" ht="15" customHeight="1" x14ac:dyDescent="0.35">
      <c r="A29" s="8" t="s">
        <v>20</v>
      </c>
      <c r="B29" s="17">
        <v>18000</v>
      </c>
      <c r="D29" s="2" t="s">
        <v>71</v>
      </c>
    </row>
    <row r="30" spans="1:7" ht="15" customHeight="1" x14ac:dyDescent="0.35">
      <c r="A30" s="8" t="s">
        <v>21</v>
      </c>
      <c r="B30" s="18">
        <v>400000</v>
      </c>
      <c r="D30" s="2"/>
    </row>
    <row r="32" spans="1:7" ht="15" customHeight="1" x14ac:dyDescent="0.35">
      <c r="A32" s="5" t="s">
        <v>22</v>
      </c>
      <c r="B32" s="10"/>
      <c r="C32" s="10"/>
      <c r="D32" s="10"/>
      <c r="E32" s="10"/>
      <c r="F32" s="10"/>
      <c r="G32" s="10"/>
    </row>
    <row r="33" spans="1:7" ht="15" customHeight="1" x14ac:dyDescent="0.35">
      <c r="A33" s="8" t="s">
        <v>23</v>
      </c>
      <c r="C33" s="17">
        <v>120000</v>
      </c>
      <c r="D33" s="17">
        <v>480000</v>
      </c>
      <c r="E33" s="17">
        <v>720000</v>
      </c>
      <c r="F33" s="17">
        <v>840000</v>
      </c>
      <c r="G33" s="17">
        <v>900000</v>
      </c>
    </row>
    <row r="34" spans="1:7" ht="15" customHeight="1" x14ac:dyDescent="0.35">
      <c r="A34" s="8" t="s">
        <v>24</v>
      </c>
      <c r="C34" s="17">
        <v>180000</v>
      </c>
      <c r="D34" s="17">
        <v>600000</v>
      </c>
      <c r="E34" s="17">
        <v>1100000</v>
      </c>
      <c r="F34" s="17">
        <v>1500000</v>
      </c>
      <c r="G34" s="17">
        <v>1900000</v>
      </c>
    </row>
    <row r="35" spans="1:7" ht="15" customHeight="1" x14ac:dyDescent="0.35">
      <c r="A35" s="8" t="s">
        <v>25</v>
      </c>
      <c r="C35" s="17">
        <v>0</v>
      </c>
      <c r="D35" s="17">
        <v>120000</v>
      </c>
      <c r="E35" s="17">
        <v>300000</v>
      </c>
      <c r="F35" s="17">
        <v>480000</v>
      </c>
      <c r="G35" s="17">
        <v>620000</v>
      </c>
    </row>
    <row r="36" spans="1:7" ht="15" customHeight="1" x14ac:dyDescent="0.35">
      <c r="A36" s="8" t="s">
        <v>26</v>
      </c>
      <c r="C36" s="17">
        <v>60000</v>
      </c>
      <c r="D36" s="17">
        <v>220000</v>
      </c>
      <c r="E36" s="17">
        <v>450000</v>
      </c>
      <c r="F36" s="17">
        <v>620000</v>
      </c>
      <c r="G36" s="17">
        <v>780000</v>
      </c>
    </row>
    <row r="37" spans="1:7" ht="15" customHeight="1" x14ac:dyDescent="0.35">
      <c r="A37" s="8" t="s">
        <v>27</v>
      </c>
      <c r="C37" s="17">
        <v>40000</v>
      </c>
      <c r="D37" s="17">
        <v>90000</v>
      </c>
      <c r="E37" s="17">
        <v>150000</v>
      </c>
      <c r="F37" s="17">
        <v>200000</v>
      </c>
      <c r="G37" s="17">
        <v>250000</v>
      </c>
    </row>
    <row r="38" spans="1:7" ht="15" customHeight="1" x14ac:dyDescent="0.35">
      <c r="A38" s="8" t="s">
        <v>28</v>
      </c>
      <c r="C38" s="17">
        <v>50000</v>
      </c>
      <c r="D38" s="17">
        <v>110000</v>
      </c>
      <c r="E38" s="17">
        <v>180000</v>
      </c>
      <c r="F38" s="17">
        <v>240000</v>
      </c>
      <c r="G38" s="17">
        <v>300000</v>
      </c>
    </row>
    <row r="40" spans="1:7" ht="15" customHeight="1" x14ac:dyDescent="0.35">
      <c r="A40" s="8" t="s">
        <v>29</v>
      </c>
      <c r="B40" s="9"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tabSelected="1" topLeftCell="A18" zoomScaleNormal="100" workbookViewId="0">
      <selection activeCell="A41" sqref="A41"/>
    </sheetView>
  </sheetViews>
  <sheetFormatPr defaultColWidth="8.6328125" defaultRowHeight="14.5" x14ac:dyDescent="0.35"/>
  <cols>
    <col min="1" max="1" width="40" customWidth="1"/>
    <col min="2" max="2" width="5.1796875" bestFit="1" customWidth="1"/>
    <col min="3" max="7" width="14" customWidth="1"/>
  </cols>
  <sheetData>
    <row r="1" spans="1:7" ht="17.25" customHeight="1" x14ac:dyDescent="0.4">
      <c r="A1" s="1" t="s">
        <v>30</v>
      </c>
    </row>
    <row r="2" spans="1:7" ht="15" customHeight="1" x14ac:dyDescent="0.35">
      <c r="A2" s="2" t="s">
        <v>31</v>
      </c>
    </row>
    <row r="4" spans="1:7" ht="15" customHeight="1" x14ac:dyDescent="0.35">
      <c r="A4" s="3" t="s">
        <v>32</v>
      </c>
      <c r="B4" s="4"/>
      <c r="C4" s="19" t="s">
        <v>33</v>
      </c>
      <c r="D4" s="19" t="s">
        <v>34</v>
      </c>
      <c r="E4" s="19" t="s">
        <v>35</v>
      </c>
      <c r="F4" s="19" t="s">
        <v>36</v>
      </c>
      <c r="G4" s="19" t="s">
        <v>37</v>
      </c>
    </row>
    <row r="5" spans="1:7" ht="15" customHeight="1" x14ac:dyDescent="0.35">
      <c r="A5" s="20" t="s">
        <v>38</v>
      </c>
      <c r="B5" s="21"/>
      <c r="C5" s="21"/>
      <c r="D5" s="21"/>
      <c r="E5" s="21"/>
      <c r="F5" s="21"/>
      <c r="G5" s="21"/>
    </row>
    <row r="6" spans="1:7" ht="15" customHeight="1" x14ac:dyDescent="0.35">
      <c r="A6" s="22" t="s">
        <v>39</v>
      </c>
      <c r="C6" s="23">
        <f>Assumptions!$C$22*Assumptions!$B$7+Assumptions!$C$23*Assumptions!$B$8+Assumptions!$C$24*Assumptions!$B$9</f>
        <v>640000</v>
      </c>
      <c r="D6" s="23">
        <f>Assumptions!$D$22*Assumptions!$B$7+Assumptions!$D$23*Assumptions!$B$8+Assumptions!$D$24*Assumptions!$B$9</f>
        <v>2040000</v>
      </c>
      <c r="E6" s="23">
        <f>Assumptions!$E$22*Assumptions!$B$7+Assumptions!$E$23*Assumptions!$B$8+Assumptions!$E$24*Assumptions!$B$9</f>
        <v>4600000</v>
      </c>
      <c r="F6" s="23">
        <f>Assumptions!$F$22*Assumptions!$B$7+Assumptions!$F$23*Assumptions!$B$8+Assumptions!$F$24*Assumptions!$B$9</f>
        <v>6520000</v>
      </c>
      <c r="G6" s="23">
        <f>Assumptions!$G$22*Assumptions!$B$7+Assumptions!$G$23*Assumptions!$B$8+Assumptions!$G$24*Assumptions!$B$9</f>
        <v>8640000</v>
      </c>
    </row>
    <row r="7" spans="1:7" ht="15" customHeight="1" x14ac:dyDescent="0.35">
      <c r="A7" s="22" t="s">
        <v>40</v>
      </c>
      <c r="C7" s="23">
        <f>Assumptions!$C$15*Assumptions!$C$7+Assumptions!$C$16*Assumptions!$C$8+Assumptions!$C$17*Assumptions!$C$9</f>
        <v>280000</v>
      </c>
      <c r="D7" s="23">
        <f>Assumptions!$D$15*Assumptions!$C$7+Assumptions!$D$16*Assumptions!$C$8+Assumptions!$D$17*Assumptions!$C$9</f>
        <v>610000</v>
      </c>
      <c r="E7" s="23">
        <f>Assumptions!$E$15*Assumptions!$C$7+Assumptions!$E$16*Assumptions!$C$8+Assumptions!$E$17*Assumptions!$C$9</f>
        <v>1120000</v>
      </c>
      <c r="F7" s="23">
        <f>Assumptions!$F$15*Assumptions!$C$7+Assumptions!$F$16*Assumptions!$C$8+Assumptions!$F$17*Assumptions!$C$9</f>
        <v>980000</v>
      </c>
      <c r="G7" s="23">
        <f>Assumptions!$G$15*Assumptions!$C$7+Assumptions!$G$16*Assumptions!$C$8+Assumptions!$G$17*Assumptions!$C$9</f>
        <v>1070000</v>
      </c>
    </row>
    <row r="8" spans="1:7" ht="15" customHeight="1" x14ac:dyDescent="0.35">
      <c r="A8" s="24" t="s">
        <v>41</v>
      </c>
      <c r="B8" s="25"/>
      <c r="C8" s="26">
        <f>C6+C7</f>
        <v>920000</v>
      </c>
      <c r="D8" s="26">
        <f>D6+D7</f>
        <v>2650000</v>
      </c>
      <c r="E8" s="26">
        <f>E6+E7</f>
        <v>5720000</v>
      </c>
      <c r="F8" s="26">
        <f>F6+F7</f>
        <v>7500000</v>
      </c>
      <c r="G8" s="26">
        <f>G6+G7</f>
        <v>9710000</v>
      </c>
    </row>
    <row r="10" spans="1:7" ht="15" customHeight="1" x14ac:dyDescent="0.35">
      <c r="A10" s="20" t="s">
        <v>42</v>
      </c>
      <c r="B10" s="21"/>
      <c r="C10" s="21"/>
      <c r="D10" s="21"/>
      <c r="E10" s="21"/>
      <c r="F10" s="21"/>
      <c r="G10" s="21"/>
    </row>
    <row r="11" spans="1:7" ht="15" customHeight="1" x14ac:dyDescent="0.35">
      <c r="A11" s="22" t="s">
        <v>43</v>
      </c>
      <c r="C11" s="23">
        <f>Assumptions!$C$25*Assumptions!$B$28</f>
        <v>96000</v>
      </c>
      <c r="D11" s="23">
        <f>Assumptions!$D$25*Assumptions!$B$28</f>
        <v>352000</v>
      </c>
      <c r="E11" s="23">
        <f>Assumptions!$E$25*Assumptions!$B$28</f>
        <v>800000</v>
      </c>
      <c r="F11" s="23">
        <f>Assumptions!$F$25*Assumptions!$B$28</f>
        <v>1120000</v>
      </c>
      <c r="G11" s="23">
        <f>Assumptions!$G$25*Assumptions!$B$28</f>
        <v>1472000</v>
      </c>
    </row>
    <row r="12" spans="1:7" ht="15" customHeight="1" x14ac:dyDescent="0.35">
      <c r="A12" s="22" t="s">
        <v>44</v>
      </c>
      <c r="C12" s="23">
        <f>Assumptions!$C$18*Assumptions!$B$29</f>
        <v>54000</v>
      </c>
      <c r="D12" s="23">
        <f>Assumptions!$D$18*Assumptions!$B$29</f>
        <v>144000</v>
      </c>
      <c r="E12" s="23">
        <f>Assumptions!$E$18*Assumptions!$B$29</f>
        <v>252000</v>
      </c>
      <c r="F12" s="23">
        <f>Assumptions!$F$18*Assumptions!$B$29</f>
        <v>216000</v>
      </c>
      <c r="G12" s="23">
        <f>Assumptions!$G$18*Assumptions!$B$29</f>
        <v>234000</v>
      </c>
    </row>
    <row r="13" spans="1:7" ht="15" customHeight="1" x14ac:dyDescent="0.35">
      <c r="A13" s="27" t="s">
        <v>45</v>
      </c>
      <c r="C13" s="28">
        <f>C11+C12</f>
        <v>150000</v>
      </c>
      <c r="D13" s="28">
        <f>D11+D12</f>
        <v>496000</v>
      </c>
      <c r="E13" s="28">
        <f>E11+E12</f>
        <v>1052000</v>
      </c>
      <c r="F13" s="28">
        <f>F11+F12</f>
        <v>1336000</v>
      </c>
      <c r="G13" s="28">
        <f>G11+G12</f>
        <v>1706000</v>
      </c>
    </row>
    <row r="15" spans="1:7" ht="15" customHeight="1" x14ac:dyDescent="0.35">
      <c r="A15" s="24" t="s">
        <v>46</v>
      </c>
      <c r="B15" s="25"/>
      <c r="C15" s="29">
        <f>C8-C13</f>
        <v>770000</v>
      </c>
      <c r="D15" s="29">
        <f>D8-D13</f>
        <v>2154000</v>
      </c>
      <c r="E15" s="29">
        <f>E8-E13</f>
        <v>4668000</v>
      </c>
      <c r="F15" s="29">
        <f>F8-F13</f>
        <v>6164000</v>
      </c>
      <c r="G15" s="29">
        <f>G8-G13</f>
        <v>8004000</v>
      </c>
    </row>
    <row r="16" spans="1:7" ht="15" customHeight="1" x14ac:dyDescent="0.35">
      <c r="A16" s="8" t="s">
        <v>47</v>
      </c>
      <c r="C16" s="30">
        <f>IF(C8=0,0,C15/C8)</f>
        <v>0.83695652173913049</v>
      </c>
      <c r="D16" s="30">
        <f>IF(D8=0,0,D15/D8)</f>
        <v>0.81283018867924528</v>
      </c>
      <c r="E16" s="30">
        <f>IF(E8=0,0,E15/E8)</f>
        <v>0.81608391608391606</v>
      </c>
      <c r="F16" s="30">
        <f>IF(F8=0,0,F15/F8)</f>
        <v>0.82186666666666663</v>
      </c>
      <c r="G16" s="30">
        <f>IF(G8=0,0,G15/G8)</f>
        <v>0.8243048403707518</v>
      </c>
    </row>
    <row r="18" spans="1:7" ht="15" customHeight="1" x14ac:dyDescent="0.35">
      <c r="A18" s="20" t="s">
        <v>48</v>
      </c>
      <c r="B18" s="21"/>
      <c r="C18" s="21"/>
      <c r="D18" s="21"/>
      <c r="E18" s="21"/>
      <c r="F18" s="21"/>
      <c r="G18" s="21"/>
    </row>
    <row r="19" spans="1:7" ht="15" customHeight="1" x14ac:dyDescent="0.35">
      <c r="A19" s="22" t="s">
        <v>49</v>
      </c>
      <c r="C19" s="23">
        <f>Assumptions!$C$33</f>
        <v>120000</v>
      </c>
      <c r="D19" s="23">
        <f>Assumptions!$D$33</f>
        <v>480000</v>
      </c>
      <c r="E19" s="23">
        <f>Assumptions!$E$33</f>
        <v>720000</v>
      </c>
      <c r="F19" s="23">
        <f>Assumptions!$F$33</f>
        <v>840000</v>
      </c>
      <c r="G19" s="23">
        <f>Assumptions!$G$33</f>
        <v>900000</v>
      </c>
    </row>
    <row r="20" spans="1:7" ht="15" customHeight="1" x14ac:dyDescent="0.35">
      <c r="A20" s="22" t="s">
        <v>50</v>
      </c>
      <c r="C20" s="23">
        <f>Assumptions!$C$34</f>
        <v>180000</v>
      </c>
      <c r="D20" s="23">
        <f>Assumptions!$D$34</f>
        <v>600000</v>
      </c>
      <c r="E20" s="23">
        <f>Assumptions!$E$34</f>
        <v>1100000</v>
      </c>
      <c r="F20" s="23">
        <f>Assumptions!$F$34</f>
        <v>1500000</v>
      </c>
      <c r="G20" s="23">
        <f>Assumptions!$G$34</f>
        <v>1900000</v>
      </c>
    </row>
    <row r="21" spans="1:7" ht="15" customHeight="1" x14ac:dyDescent="0.35">
      <c r="A21" s="22" t="s">
        <v>25</v>
      </c>
      <c r="C21" s="23">
        <f>Assumptions!$C$35</f>
        <v>0</v>
      </c>
      <c r="D21" s="23">
        <f>Assumptions!$D$35</f>
        <v>120000</v>
      </c>
      <c r="E21" s="23">
        <f>Assumptions!$E$35</f>
        <v>300000</v>
      </c>
      <c r="F21" s="23">
        <f>Assumptions!$F$35</f>
        <v>480000</v>
      </c>
      <c r="G21" s="23">
        <f>Assumptions!$G$35</f>
        <v>620000</v>
      </c>
    </row>
    <row r="22" spans="1:7" ht="15" customHeight="1" x14ac:dyDescent="0.35">
      <c r="A22" s="22" t="s">
        <v>26</v>
      </c>
      <c r="C22" s="23">
        <f>Assumptions!$C$36</f>
        <v>60000</v>
      </c>
      <c r="D22" s="23">
        <f>Assumptions!$D$36</f>
        <v>220000</v>
      </c>
      <c r="E22" s="23">
        <f>Assumptions!$E$36</f>
        <v>450000</v>
      </c>
      <c r="F22" s="23">
        <f>Assumptions!$F$36</f>
        <v>620000</v>
      </c>
      <c r="G22" s="23">
        <f>Assumptions!$G$36</f>
        <v>780000</v>
      </c>
    </row>
    <row r="23" spans="1:7" ht="15" customHeight="1" x14ac:dyDescent="0.35">
      <c r="A23" s="22" t="s">
        <v>27</v>
      </c>
      <c r="C23" s="23">
        <f>Assumptions!$C$37</f>
        <v>40000</v>
      </c>
      <c r="D23" s="23">
        <f>Assumptions!$D$37</f>
        <v>90000</v>
      </c>
      <c r="E23" s="23">
        <f>Assumptions!$E$37</f>
        <v>150000</v>
      </c>
      <c r="F23" s="23">
        <f>Assumptions!$F$37</f>
        <v>200000</v>
      </c>
      <c r="G23" s="23">
        <f>Assumptions!$G$37</f>
        <v>250000</v>
      </c>
    </row>
    <row r="24" spans="1:7" ht="15" customHeight="1" x14ac:dyDescent="0.35">
      <c r="A24" s="22" t="s">
        <v>28</v>
      </c>
      <c r="C24" s="23">
        <f>Assumptions!$C$38</f>
        <v>50000</v>
      </c>
      <c r="D24" s="23">
        <f>Assumptions!$D$38</f>
        <v>110000</v>
      </c>
      <c r="E24" s="23">
        <f>Assumptions!$E$38</f>
        <v>180000</v>
      </c>
      <c r="F24" s="23">
        <f>Assumptions!$F$38</f>
        <v>240000</v>
      </c>
      <c r="G24" s="23">
        <f>Assumptions!$G$38</f>
        <v>300000</v>
      </c>
    </row>
    <row r="25" spans="1:7" ht="15" customHeight="1" x14ac:dyDescent="0.35">
      <c r="A25" s="27" t="s">
        <v>51</v>
      </c>
      <c r="C25" s="28">
        <f>SUM(C19:C24)</f>
        <v>450000</v>
      </c>
      <c r="D25" s="28">
        <f>SUM(D19:D24)</f>
        <v>1620000</v>
      </c>
      <c r="E25" s="28">
        <f>SUM(E19:E24)</f>
        <v>2900000</v>
      </c>
      <c r="F25" s="28">
        <f>SUM(F19:F24)</f>
        <v>3880000</v>
      </c>
      <c r="G25" s="28">
        <f>SUM(G19:G24)</f>
        <v>4750000</v>
      </c>
    </row>
    <row r="27" spans="1:7" ht="15" customHeight="1" x14ac:dyDescent="0.35">
      <c r="A27" s="27" t="s">
        <v>52</v>
      </c>
      <c r="C27" s="31">
        <f>C15-C25</f>
        <v>320000</v>
      </c>
      <c r="D27" s="31">
        <f>D15-D25</f>
        <v>534000</v>
      </c>
      <c r="E27" s="31">
        <f>E15-E25</f>
        <v>1768000</v>
      </c>
      <c r="F27" s="31">
        <f>F15-F25</f>
        <v>2284000</v>
      </c>
      <c r="G27" s="31">
        <f>G15-G25</f>
        <v>3254000</v>
      </c>
    </row>
    <row r="28" spans="1:7" ht="15" customHeight="1" x14ac:dyDescent="0.35">
      <c r="A28" s="22" t="s">
        <v>53</v>
      </c>
      <c r="C28" s="23">
        <f>Assumptions!$B$30</f>
        <v>400000</v>
      </c>
      <c r="D28" s="23">
        <v>0</v>
      </c>
      <c r="E28" s="23">
        <v>0</v>
      </c>
      <c r="F28" s="23">
        <v>0</v>
      </c>
      <c r="G28" s="23">
        <v>0</v>
      </c>
    </row>
    <row r="29" spans="1:7" ht="15" customHeight="1" x14ac:dyDescent="0.35">
      <c r="A29" s="24" t="s">
        <v>54</v>
      </c>
      <c r="B29" s="25"/>
      <c r="C29" s="26">
        <f>C27-C28</f>
        <v>-80000</v>
      </c>
      <c r="D29" s="26">
        <f>D27-D28</f>
        <v>534000</v>
      </c>
      <c r="E29" s="26">
        <f>E27-E28</f>
        <v>1768000</v>
      </c>
      <c r="F29" s="26">
        <f>F27-F28</f>
        <v>2284000</v>
      </c>
      <c r="G29" s="26">
        <f>G27-G28</f>
        <v>3254000</v>
      </c>
    </row>
    <row r="30" spans="1:7" ht="15" customHeight="1" x14ac:dyDescent="0.35">
      <c r="A30" s="8" t="s">
        <v>55</v>
      </c>
      <c r="C30" s="30">
        <f>IF(C8=0,0,C29/C8)</f>
        <v>-8.6956521739130432E-2</v>
      </c>
      <c r="D30" s="30">
        <f>IF(D8=0,0,D29/D8)</f>
        <v>0.20150943396226415</v>
      </c>
      <c r="E30" s="30">
        <f>IF(E8=0,0,E29/E8)</f>
        <v>0.30909090909090908</v>
      </c>
      <c r="F30" s="30">
        <f>IF(F8=0,0,F29/F8)</f>
        <v>0.30453333333333332</v>
      </c>
      <c r="G30" s="30">
        <f>IF(G8=0,0,G29/G8)</f>
        <v>0.33511843460350155</v>
      </c>
    </row>
    <row r="32" spans="1:7" ht="15" customHeight="1" x14ac:dyDescent="0.35">
      <c r="A32" s="8" t="s">
        <v>56</v>
      </c>
      <c r="C32" s="23">
        <f>C29</f>
        <v>-80000</v>
      </c>
      <c r="D32" s="23">
        <f>C32+D29</f>
        <v>454000</v>
      </c>
      <c r="E32" s="23">
        <f>D32+E29</f>
        <v>2222000</v>
      </c>
      <c r="F32" s="23">
        <f>E32+F29</f>
        <v>4506000</v>
      </c>
      <c r="G32" s="23">
        <f>F32+G29</f>
        <v>7760000</v>
      </c>
    </row>
    <row r="34" spans="1:7" ht="15" customHeight="1" x14ac:dyDescent="0.35">
      <c r="A34" s="3" t="s">
        <v>57</v>
      </c>
      <c r="B34" s="4"/>
      <c r="C34" s="4"/>
      <c r="D34" s="4"/>
      <c r="E34" s="4"/>
      <c r="F34" s="4"/>
      <c r="G34" s="4"/>
    </row>
    <row r="35" spans="1:7" ht="15" customHeight="1" x14ac:dyDescent="0.35">
      <c r="A35" s="22" t="s">
        <v>58</v>
      </c>
      <c r="C35" s="23">
        <f>Assumptions!$C$25</f>
        <v>3</v>
      </c>
      <c r="D35" s="23">
        <f>Assumptions!$D$25</f>
        <v>11</v>
      </c>
      <c r="E35" s="23">
        <f>Assumptions!$E$25</f>
        <v>25</v>
      </c>
      <c r="F35" s="23">
        <f>Assumptions!$F$25</f>
        <v>35</v>
      </c>
      <c r="G35" s="23">
        <f>Assumptions!$G$25</f>
        <v>46</v>
      </c>
    </row>
    <row r="36" spans="1:7" ht="15" customHeight="1" x14ac:dyDescent="0.35">
      <c r="A36" s="8" t="s">
        <v>59</v>
      </c>
      <c r="C36" s="23">
        <f>IF(C35=0,0,C8/C35)</f>
        <v>306666.66666666669</v>
      </c>
      <c r="D36" s="23">
        <f>IF(D35=0,0,D8/D35)</f>
        <v>240909.09090909091</v>
      </c>
      <c r="E36" s="23">
        <f>IF(E35=0,0,E8/E35)</f>
        <v>228800</v>
      </c>
      <c r="F36" s="23">
        <f>IF(F35=0,0,F8/F35)</f>
        <v>214285.71428571429</v>
      </c>
      <c r="G36" s="23">
        <f>IF(G35=0,0,G8/G35)</f>
        <v>211086.95652173914</v>
      </c>
    </row>
    <row r="38" spans="1:7" ht="15" customHeight="1" x14ac:dyDescent="0.35">
      <c r="A38" s="27" t="s">
        <v>60</v>
      </c>
      <c r="C38" s="29">
        <f>NPV(Assumptions!$B$40,C29:G29)</f>
        <v>3736490.4835390951</v>
      </c>
    </row>
    <row r="39" spans="1:7" ht="15" customHeight="1" x14ac:dyDescent="0.35">
      <c r="A39" s="27" t="s">
        <v>61</v>
      </c>
      <c r="C39" s="29">
        <f>G32</f>
        <v>7760000</v>
      </c>
    </row>
    <row r="41" spans="1:7" ht="15" customHeight="1" x14ac:dyDescent="0.35">
      <c r="A41" s="2"/>
    </row>
    <row r="43" spans="1:7" x14ac:dyDescent="0.35">
      <c r="A43" s="3" t="s">
        <v>62</v>
      </c>
      <c r="B43" s="4"/>
      <c r="C43" s="4"/>
      <c r="D43" s="4"/>
      <c r="E43" s="4"/>
      <c r="F43" s="4"/>
      <c r="G43" s="4"/>
    </row>
    <row r="44" spans="1:7" x14ac:dyDescent="0.35">
      <c r="A44" s="2"/>
    </row>
    <row r="45" spans="1:7" x14ac:dyDescent="0.35">
      <c r="A45" s="2"/>
    </row>
    <row r="47" spans="1:7" x14ac:dyDescent="0.35">
      <c r="A47" s="27" t="s">
        <v>63</v>
      </c>
      <c r="C47" s="29">
        <f>G6</f>
        <v>8640000</v>
      </c>
    </row>
    <row r="49" spans="1:3" x14ac:dyDescent="0.35">
      <c r="A49" s="20" t="s">
        <v>64</v>
      </c>
      <c r="B49" s="20"/>
      <c r="C49" s="20" t="s">
        <v>65</v>
      </c>
    </row>
    <row r="50" spans="1:3" x14ac:dyDescent="0.35">
      <c r="A50" s="8" t="s">
        <v>66</v>
      </c>
      <c r="B50" s="32">
        <v>4</v>
      </c>
      <c r="C50" s="23">
        <f>$C$47*B50</f>
        <v>34560000</v>
      </c>
    </row>
    <row r="51" spans="1:3" x14ac:dyDescent="0.35">
      <c r="A51" s="8" t="s">
        <v>67</v>
      </c>
      <c r="B51" s="32">
        <v>6</v>
      </c>
      <c r="C51" s="23">
        <f>$C$47*B51</f>
        <v>51840000</v>
      </c>
    </row>
    <row r="52" spans="1:3" x14ac:dyDescent="0.35">
      <c r="A52" s="8" t="s">
        <v>68</v>
      </c>
      <c r="B52" s="32">
        <v>8</v>
      </c>
      <c r="C52" s="23">
        <f>$C$47*B52</f>
        <v>69120000</v>
      </c>
    </row>
    <row r="53" spans="1:3" x14ac:dyDescent="0.35">
      <c r="A53" s="8" t="s">
        <v>69</v>
      </c>
      <c r="B53" s="32">
        <v>10</v>
      </c>
      <c r="C53" s="23">
        <f>$C$47*B53</f>
        <v>86400000</v>
      </c>
    </row>
    <row r="55" spans="1:3" x14ac:dyDescent="0.35">
      <c r="A55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GUPTA Dhruv</cp:lastModifiedBy>
  <cp:revision>0</cp:revision>
  <dcterms:created xsi:type="dcterms:W3CDTF">2026-08-20T18:07:41Z</dcterms:created>
  <dcterms:modified xsi:type="dcterms:W3CDTF">2026-08-20T19:28:03Z</dcterms:modified>
  <dc:language>en-US</dc:language>
</cp:coreProperties>
</file>